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eff4303c7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2fe2a26926a74898"/>
    <x:sheet xmlns:r="http://schemas.openxmlformats.org/officeDocument/2006/relationships" name="BOM Header" sheetId="2" r:id="R0e7b641c829842df"/>
    <x:sheet xmlns:r="http://schemas.openxmlformats.org/officeDocument/2006/relationships" name="BOM Components" sheetId="3" r:id="Rba4709dd89ee4737"/>
    <x:sheet xmlns:r="http://schemas.openxmlformats.org/officeDocument/2006/relationships" name="BOM Operations" sheetId="4" r:id="R9ffda5219e21473d"/>
    <x:sheet xmlns:r="http://schemas.openxmlformats.org/officeDocument/2006/relationships" name="BOM Byproducts" sheetId="5" r:id="R050fac6d3b46414d"/>
    <x:sheet xmlns:r="http://schemas.openxmlformats.org/officeDocument/2006/relationships" name="Quality Points" sheetId="6" r:id="Rf201414a635741f8"/>
    <x:sheet xmlns:r="http://schemas.openxmlformats.org/officeDocument/2006/relationships" name="Validation Summary" sheetId="7" r:id="Rc636e5adcc5c473b"/>
    <x:sheet xmlns:r="http://schemas.openxmlformats.org/officeDocument/2006/relationships" name="Unresolved Records" sheetId="8" r:id="R876f67dfa39b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c94a8e632472f" /><Relationship Type="http://schemas.openxmlformats.org/officeDocument/2006/relationships/theme" Target="/xl/theme/theme1.xml" Id="Rbc3fd14915ac473e" /><Relationship Type="http://schemas.microsoft.com/office/2022/11/relationships/FeaturePropertyBag" Target="/xl/featurePropertyBag/featurePropertyBag.xml" Id="Rfd3fe1a2f6024fce" /><Relationship Type="http://schemas.openxmlformats.org/officeDocument/2006/relationships/sharedStrings" Target="/xl/sharedStrings.xml" Id="Rd842614325a9401d" /><Relationship Type="http://schemas.openxmlformats.org/officeDocument/2006/relationships/worksheet" Target="/xl/worksheets/sheet1.xml" Id="R2fe2a26926a74898" /><Relationship Type="http://schemas.openxmlformats.org/officeDocument/2006/relationships/worksheet" Target="/xl/worksheets/sheet2.xml" Id="R0e7b641c829842df" /><Relationship Type="http://schemas.openxmlformats.org/officeDocument/2006/relationships/worksheet" Target="/xl/worksheets/sheet3.xml" Id="Rba4709dd89ee4737" /><Relationship Type="http://schemas.openxmlformats.org/officeDocument/2006/relationships/worksheet" Target="/xl/worksheets/sheet4.xml" Id="R9ffda5219e21473d" /><Relationship Type="http://schemas.openxmlformats.org/officeDocument/2006/relationships/worksheet" Target="/xl/worksheets/sheet5.xml" Id="R050fac6d3b46414d" /><Relationship Type="http://schemas.openxmlformats.org/officeDocument/2006/relationships/worksheet" Target="/xl/worksheets/sheet6.xml" Id="Rf201414a635741f8" /><Relationship Type="http://schemas.openxmlformats.org/officeDocument/2006/relationships/worksheet" Target="/xl/worksheets/sheet7.xml" Id="Rc636e5adcc5c473b" /><Relationship Type="http://schemas.openxmlformats.org/officeDocument/2006/relationships/worksheet" Target="/xl/worksheets/sheet8.xml" Id="R876f67dfa39b4a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1:L5" headerRowCount="1" totalsRowCount="0" totalsRowShown="0">
  <x:tableColumns count="12">
    <x:tableColumn id="1" name="External ID"/>
    <x:tableColumn id="2" name="Name"/>
    <x:tableColumn id="3" name="Internal Reference"/>
    <x:tableColumn id="4" name="Product Type"/>
    <x:tableColumn id="5" name="Inventory UoM"/>
    <x:tableColumn id="6" name="Purchase UoM"/>
    <x:tableColumn id="7" name="Category"/>
    <x:tableColumn id="8" name="Can be Sold"/>
    <x:tableColumn id="9" name="Can be Purchased"/>
    <x:tableColumn id="10" name="Manufactured"/>
    <x:tableColumn id="11" name="Validation Statu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MHeaderTable" displayName="BOMHeaderTable" ref="A1:L2" headerRowCount="1" totalsRowCount="0" totalsRowShown="0">
  <x:tableColumns count="12">
    <x:tableColumn id="1" name="External ID"/>
    <x:tableColumn id="2" name="Reference"/>
    <x:tableColumn id="3" name="Product/External ID"/>
    <x:tableColumn id="4" name="Product/Internal Reference"/>
    <x:tableColumn id="5" name="Product Name"/>
    <x:tableColumn id="6" name="Quantity"/>
    <x:tableColumn id="7" name="UoM"/>
    <x:tableColumn id="8" name="BoM Type"/>
    <x:tableColumn id="9" name="Manufacturing Workflow"/>
    <x:tableColumn id="10" name="Active"/>
    <x:tableColumn id="11" name="Validation Status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MComponentsTable" displayName="BOMComponentsTable" ref="A1:N2" headerRowCount="1" totalsRowCount="0" totalsRowShown="0">
  <x:tableColumns count="14">
    <x:tableColumn id="1" name="External ID"/>
    <x:tableColumn id="2" name="BOM/External ID"/>
    <x:tableColumn id="3" name="Product/External ID"/>
    <x:tableColumn id="4" name="Product/Internal Reference"/>
    <x:tableColumn id="5" name="Product Name"/>
    <x:tableColumn id="6" name="Quantity"/>
    <x:tableColumn id="7" name="UoM"/>
    <x:tableColumn id="8" name="Consumed in Operation/External ID"/>
    <x:tableColumn id="9" name="Active"/>
    <x:tableColumn id="10" name="Validation Status"/>
    <x:tableColumn id="11" name="Source Workbook"/>
    <x:tableColumn id="12" name="Source Worksheet"/>
    <x:tableColumn id="13" name="Source Row"/>
    <x:tableColumn id="1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MOperationsTable" displayName="BOMOperationsTable" ref="A1:M10" headerRowCount="1" totalsRowCount="0" totalsRowShown="0">
  <x:tableColumns count="13">
    <x:tableColumn id="1" name="External ID"/>
    <x:tableColumn id="2" name="BOM/External ID"/>
    <x:tableColumn id="3" name="Sequence"/>
    <x:tableColumn id="4" name="Operation"/>
    <x:tableColumn id="5" name="Work Centre/External ID"/>
    <x:tableColumn id="6" name="Work Centre"/>
    <x:tableColumn id="7" name="Setup Minutes"/>
    <x:tableColumn id="8" name="Cycle Minutes"/>
    <x:tableColumn id="9" name="Active"/>
    <x:tableColumn id="10" name="Validation Status"/>
    <x:tableColumn id="11" name="Source Workbook"/>
    <x:tableColumn id="12" name="Source Worksheet"/>
    <x:tableColumn id="1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MByproductsTable" displayName="BOMByproductsTable" ref="A1:O2" headerRowCount="1" totalsRowCount="0" totalsRowShown="0">
  <x:tableColumns count="15">
    <x:tableColumn id="1" name="External ID"/>
    <x:tableColumn id="2" name="BOM/External ID"/>
    <x:tableColumn id="3" name="Product/External ID"/>
    <x:tableColumn id="4" name="Product/Internal Reference"/>
    <x:tableColumn id="5" name="Product Name"/>
    <x:tableColumn id="6" name="Quantity"/>
    <x:tableColumn id="7" name="UoM"/>
    <x:tableColumn id="8" name="Produced in Operation/External ID"/>
    <x:tableColumn id="9" name="Cost Share"/>
    <x:tableColumn id="10" name="Active"/>
    <x:tableColumn id="11" name="Validation Status"/>
    <x:tableColumn id="12" name="Source Workbook"/>
    <x:tableColumn id="13" name="Source Worksheet"/>
    <x:tableColumn id="14" name="Source Row"/>
    <x:tableColumn id="1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PointsTable" displayName="QualityPointsTable" ref="A1:M7" headerRowCount="1" totalsRowCount="0" totalsRowShown="0">
  <x:tableColumns count="13">
    <x:tableColumn id="1" name="External ID"/>
    <x:tableColumn id="2" name="Operation/External ID"/>
    <x:tableColumn id="3" name="Control"/>
    <x:tableColumn id="4" name="Specification"/>
    <x:tableColumn id="5" name="Test Type"/>
    <x:tableColumn id="6" name="Frequency"/>
    <x:tableColumn id="7" name="Responsible Team"/>
    <x:tableColumn id="8" name="Blocking"/>
    <x:tableColumn id="9" name="Active"/>
    <x:tableColumn id="10" name="Validation Status"/>
    <x:tableColumn id="11" name="Source Workbook"/>
    <x:tableColumn id="12" name="Source Worksheet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alidationSummaryTable" displayName="ValidationSummaryTable" ref="A1:C7" headerRowCount="1" totalsRowCount="0" totalsRowShown="0">
  <x:tableColumns count="3">
    <x:tableColumn id="1" name="Validation Control"/>
    <x:tableColumn id="2" name="Formula Result"/>
    <x:tableColumn id="3" name="Required Resolu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nresolvedRecordsTable" displayName="UnresolvedRecordsTable" ref="A1:H10" headerRowCount="1" totalsRowCount="0" totalsRowShown="0">
  <x:tableColumns count="8">
    <x:tableColumn id="1" name="Record Type"/>
    <x:tableColumn id="2" name="Source File"/>
    <x:tableColumn id="3" name="Source Sheet"/>
    <x:tableColumn id="4" name="Source Row"/>
    <x:tableColumn id="5" name="Source Value"/>
    <x:tableColumn id="6" name="Problem"/>
    <x:tableColumn id="7" name="Suggested Resolution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8815b4be0a4f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e16a02083244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1ba1a2d4aa4d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69ab784e4344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5791980787a43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5bae94ba41047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58318a7466f48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3f75bb1fb994c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8" hidden="0" customWidth="1"/>
    <x:col min="3" max="3" width="22" hidden="0" customWidth="1"/>
    <x:col min="4" max="4" width="18" hidden="0" customWidth="1"/>
    <x:col min="5" max="5" width="16" hidden="0" customWidth="1"/>
    <x:col min="6" max="6" width="16" hidden="0" customWidth="1"/>
    <x:col min="7" max="7" width="20" hidden="0" customWidth="1"/>
    <x:col min="8" max="8" width="14" hidden="0" customWidth="1"/>
    <x:col min="9" max="9" width="16" hidden="0" customWidth="1"/>
    <x:col min="10" max="10" width="14" hidden="0" customWidth="1"/>
    <x:col min="11" max="11" width="20" hidden="0" customWidth="1"/>
    <x:col min="12" max="12" width="54" hidden="0" customWidth="1"/>
  </x:cols>
  <x:sheetData>
    <x:row r="1" ht="36" customHeight="1">
      <x:c r="A1" s="4" t="str">
        <x:v>External ID</x:v>
      </x:c>
      <x:c r="B1" s="4" t="str">
        <x:v>Name</x:v>
      </x:c>
      <x:c r="C1" s="4" t="str">
        <x:v>Internal Reference</x:v>
      </x:c>
      <x:c r="D1" s="4" t="str">
        <x:v>Product Type</x:v>
      </x:c>
      <x:c r="E1" s="4" t="str">
        <x:v>Inventory UoM</x:v>
      </x:c>
      <x:c r="F1" s="4" t="str">
        <x:v>Purchase UoM</x:v>
      </x:c>
      <x:c r="G1" s="4" t="str">
        <x:v>Category</x:v>
      </x:c>
      <x:c r="H1" s="4" t="str">
        <x:v>Can be Sold</x:v>
      </x:c>
      <x:c r="I1" s="4" t="str">
        <x:v>Can be Purchased</x:v>
      </x:c>
      <x:c r="J1" s="4" t="str">
        <x:v>Manufactured</x:v>
      </x:c>
      <x:c r="K1" s="4" t="str">
        <x:v>Validation Status</x:v>
      </x:c>
      <x:c r="L1" s="4" t="str">
        <x:v>Notes</x:v>
      </x:c>
    </x:row>
    <x:row r="2">
      <x:c r="A2" s="10" t="str">
        <x:v>legacy_mrp_master_data.prod_soya_beans</x:v>
      </x:c>
      <x:c r="B2" s="10" t="str">
        <x:v>Soya Beans</x:v>
      </x:c>
      <x:c r="C2" s="10" t="str">
        <x:v>RM-SOYA-BEANS</x:v>
      </x:c>
      <x:c r="D2" s="10" t="str">
        <x:v>Storable Product</x:v>
      </x:c>
      <x:c r="E2" s="10" t="str">
        <x:v>kg</x:v>
      </x:c>
      <x:c r="F2" s="10" t="str">
        <x:v>kg</x:v>
      </x:c>
      <x:c r="G2" s="10" t="str">
        <x:v>Raw Materials</x:v>
      </x:c>
      <x:c r="H2" s="11" t="b">
        <x:v>0</x:v>
      </x:c>
      <x:c r="I2" s="11" t="b">
        <x:v>1</x:v>
      </x:c>
      <x:c r="J2" s="11" t="b">
        <x:v>0</x:v>
      </x:c>
      <x:c r="K2" s="10" t="str">
        <x:v>Ready</x:v>
      </x:c>
      <x:c r="L2" s="10" t="str">
        <x:v>Existing product reused</x:v>
      </x:c>
    </x:row>
    <x:row r="3">
      <x:c r="A3" s="10" t="str">
        <x:v>legacy_mrp_master_data.prod_bulk_tsp</x:v>
      </x:c>
      <x:c r="B3" s="10" t="str">
        <x:v>Bulk Soya Chunks (TSP)</x:v>
      </x:c>
      <x:c r="C3" s="10" t="str">
        <x:v>WIP-BULK-TSP</x:v>
      </x:c>
      <x:c r="D3" s="10" t="str">
        <x:v>Storable Product</x:v>
      </x:c>
      <x:c r="E3" s="10" t="str">
        <x:v>kg</x:v>
      </x:c>
      <x:c r="F3" s="10" t="str">
        <x:v>kg</x:v>
      </x:c>
      <x:c r="G3" s="10" t="str">
        <x:v>Work in Progress</x:v>
      </x:c>
      <x:c r="H3" s="11" t="b">
        <x:v>0</x:v>
      </x:c>
      <x:c r="I3" s="11" t="b">
        <x:v>0</x:v>
      </x:c>
      <x:c r="J3" s="11" t="b">
        <x:v>1</x:v>
      </x:c>
      <x:c r="K3" s="10" t="str">
        <x:v>Ready</x:v>
      </x:c>
      <x:c r="L3" s="10" t="str">
        <x:v>Existing Bulk TSP master reused and relabelled</x:v>
      </x:c>
    </x:row>
    <x:row r="4">
      <x:c r="A4" s="10" t="str">
        <x:v>legacy_mrp_master_data.prod_crude_oil</x:v>
      </x:c>
      <x:c r="B4" s="10" t="str">
        <x:v>Soya Oil (Crude)</x:v>
      </x:c>
      <x:c r="C4" s="10" t="str">
        <x:v>BYP-CRUDE-OIL</x:v>
      </x:c>
      <x:c r="D4" s="10" t="str">
        <x:v>Storable Product</x:v>
      </x:c>
      <x:c r="E4" s="10" t="str">
        <x:v>kg</x:v>
      </x:c>
      <x:c r="F4" s="10" t="str">
        <x:v>kg</x:v>
      </x:c>
      <x:c r="G4" s="10" t="str">
        <x:v>By-products</x:v>
      </x:c>
      <x:c r="H4" s="11" t="b">
        <x:v>1</x:v>
      </x:c>
      <x:c r="I4" s="11" t="b">
        <x:v>0</x:v>
      </x:c>
      <x:c r="J4" s="11" t="b">
        <x:v>1</x:v>
      </x:c>
      <x:c r="K4" s="10" t="str">
        <x:v>Ready</x:v>
      </x:c>
      <x:c r="L4" s="10" t="str">
        <x:v>Existing Crude Oil master reused; no duplicate product</x:v>
      </x:c>
    </x:row>
    <x:row r="5">
      <x:c r="A5" s="10" t="str">
        <x:v>legacy_mrp_master_data.prod_low_fat_cake</x:v>
      </x:c>
      <x:c r="B5" s="10" t="str">
        <x:v>Low - Fat Cake</x:v>
      </x:c>
      <x:c r="C5" s="10" t="str">
        <x:v>BYP-LOW-FAT-CAKE</x:v>
      </x:c>
      <x:c r="D5" s="10" t="str">
        <x:v>Storable Product</x:v>
      </x:c>
      <x:c r="E5" s="10" t="str">
        <x:v>kg</x:v>
      </x:c>
      <x:c r="F5" s="10" t="str">
        <x:v>kg</x:v>
      </x:c>
      <x:c r="G5" s="10" t="str">
        <x:v>By-products</x:v>
      </x:c>
      <x:c r="H5" s="11" t="b">
        <x:v>1</x:v>
      </x:c>
      <x:c r="I5" s="11" t="b">
        <x:v>0</x:v>
      </x:c>
      <x:c r="J5" s="11" t="b">
        <x:v>1</x:v>
      </x:c>
      <x:c r="K5" s="10" t="str">
        <x:v>Review Required</x:v>
      </x:c>
      <x:c r="L5" s="10" t="str">
        <x:v>Distinct stockable master exists; output classification and quantity need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938815b4be0a4f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38" hidden="0" customWidth="1"/>
    <x:col min="3" max="3" width="44" hidden="0" customWidth="1"/>
    <x:col min="4" max="4" width="24" hidden="0" customWidth="1"/>
    <x:col min="5" max="5" width="28" hidden="0" customWidth="1"/>
    <x:col min="6" max="6" width="14" hidden="0" customWidth="1"/>
    <x:col min="7" max="7" width="10" hidden="0" customWidth="1"/>
    <x:col min="8" max="8" width="24" hidden="0" customWidth="1"/>
    <x:col min="9" max="9" width="24" hidden="0" customWidth="1"/>
    <x:col min="10" max="10" width="12" hidden="0" customWidth="1"/>
    <x:col min="11" max="11" width="20" hidden="0" customWidth="1"/>
    <x:col min="12" max="12" width="60" hidden="0" customWidth="1"/>
  </x:cols>
  <x:sheetData>
    <x:row r="1" ht="36" customHeight="1">
      <x:c r="A1" s="4" t="str">
        <x:v>External ID</x:v>
      </x:c>
      <x:c r="B1" s="4" t="str">
        <x:v>Reference</x:v>
      </x:c>
      <x:c r="C1" s="4" t="str">
        <x:v>Product/External ID</x:v>
      </x:c>
      <x:c r="D1" s="4" t="str">
        <x:v>Product/Internal Reference</x:v>
      </x:c>
      <x:c r="E1" s="4" t="str">
        <x:v>Product Name</x:v>
      </x:c>
      <x:c r="F1" s="4" t="str">
        <x:v>Quantity</x:v>
      </x:c>
      <x:c r="G1" s="4" t="str">
        <x:v>UoM</x:v>
      </x:c>
      <x:c r="H1" s="4" t="str">
        <x:v>BoM Type</x:v>
      </x:c>
      <x:c r="I1" s="4" t="str">
        <x:v>Manufacturing Workflow</x:v>
      </x:c>
      <x:c r="J1" s="4" t="str">
        <x:v>Active</x:v>
      </x:c>
      <x:c r="K1" s="4" t="str">
        <x:v>Validation Status</x:v>
      </x:c>
      <x:c r="L1" s="4" t="str">
        <x:v>Notes</x:v>
      </x:c>
    </x:row>
    <x:row r="2">
      <x:c r="A2" s="10" t="str">
        <x:v>legacy_mrp_master_data.bom_soya_chunks_single_process</x:v>
      </x:c>
      <x:c r="B2" s="10" t="str">
        <x:v>LEGACY-SOYA-CHUNKS-SINGLE-PROCESS</x:v>
      </x:c>
      <x:c r="C2" s="10" t="str">
        <x:v>legacy_mrp_master_data.prod_bulk_tsp</x:v>
      </x:c>
      <x:c r="D2" s="10" t="str">
        <x:v>WIP-BULK-TSP</x:v>
      </x:c>
      <x:c r="E2" s="10" t="str">
        <x:v>Bulk Soya Chunks (TSP)</x:v>
      </x:c>
      <x:c r="F2" s="10" t="n">
        <x:v>1</x:v>
      </x:c>
      <x:c r="G2" s="10" t="str">
        <x:v>kg</x:v>
      </x:c>
      <x:c r="H2" s="10" t="str">
        <x:v>Manufacture this Product</x:v>
      </x:c>
      <x:c r="I2" s="10" t="str">
        <x:v>Standard Odoo</x:v>
      </x:c>
      <x:c r="J2" s="11" t="b">
        <x:v>0</x:v>
      </x:c>
      <x:c r="K2" s="12" t="str">
        <x:v>Review Required</x:v>
      </x:c>
      <x:c r="L2" s="10" t="str">
        <x:v>1 kg is source normalization only, not an approved production batch output</x:v>
      </x:c>
    </x:row>
  </x:sheetData>
  <x:pageMargins left="0.7" right="0.7" top="0.75" bottom="0.75" header="0.3" footer="0.3"/>
  <x:tableParts count="1">
    <x:tablePart xmlns:r="http://schemas.openxmlformats.org/officeDocument/2006/relationships" r:id="Rf0e16a02083244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24" hidden="0" customWidth="1"/>
    <x:col min="5" max="5" width="22" hidden="0" customWidth="1"/>
    <x:col min="6" max="6" width="16" hidden="0" customWidth="1"/>
    <x:col min="7" max="7" width="10" hidden="0" customWidth="1"/>
    <x:col min="8" max="8" width="50" hidden="0" customWidth="1"/>
    <x:col min="9" max="9" width="12" hidden="0" customWidth="1"/>
    <x:col min="10" max="10" width="20" hidden="0" customWidth="1"/>
    <x:col min="11" max="11" width="42" hidden="0" customWidth="1"/>
    <x:col min="12" max="12" width="24" hidden="0" customWidth="1"/>
    <x:col min="13" max="13" width="14" hidden="0" customWidth="1"/>
    <x:col min="14" max="14" width="58" hidden="0" customWidth="1"/>
  </x:cols>
  <x:sheetData>
    <x:row r="1" ht="36" customHeight="1">
      <x:c r="A1" s="4" t="str">
        <x:v>External ID</x:v>
      </x:c>
      <x:c r="B1" s="4" t="str">
        <x:v>BOM/External ID</x:v>
      </x:c>
      <x:c r="C1" s="4" t="str">
        <x:v>Product/External ID</x:v>
      </x:c>
      <x:c r="D1" s="4" t="str">
        <x:v>Product/Internal Reference</x:v>
      </x:c>
      <x:c r="E1" s="4" t="str">
        <x:v>Product Name</x:v>
      </x:c>
      <x:c r="F1" s="4" t="str">
        <x:v>Quantity</x:v>
      </x:c>
      <x:c r="G1" s="4" t="str">
        <x:v>UoM</x:v>
      </x:c>
      <x:c r="H1" s="4" t="str">
        <x:v>Consumed in Operation/External ID</x:v>
      </x:c>
      <x:c r="I1" s="4" t="str">
        <x:v>Active</x:v>
      </x:c>
      <x:c r="J1" s="4" t="str">
        <x:v>Validation Status</x:v>
      </x:c>
      <x:c r="K1" s="4" t="str">
        <x:v>Source Workbook</x:v>
      </x:c>
      <x:c r="L1" s="4" t="str">
        <x:v>Source Worksheet</x:v>
      </x:c>
      <x:c r="M1" s="4" t="str">
        <x:v>Source Row</x:v>
      </x:c>
      <x:c r="N1" s="4" t="str">
        <x:v>Notes</x:v>
      </x:c>
    </x:row>
    <x:row r="2">
      <x:c r="A2" s="10"/>
      <x:c r="B2" s="10" t="str">
        <x:v>legacy_mrp_master_data.bom_soya_chunks_single_process</x:v>
      </x:c>
      <x:c r="C2" s="10" t="str">
        <x:v>legacy_mrp_master_data.prod_soya_beans</x:v>
      </x:c>
      <x:c r="D2" s="10" t="str">
        <x:v>RM-SOYA-BEANS</x:v>
      </x:c>
      <x:c r="E2" s="10" t="str">
        <x:v>Soya Beans</x:v>
      </x:c>
      <x:c r="F2" s="13"/>
      <x:c r="G2" s="10" t="str">
        <x:v>kg</x:v>
      </x:c>
      <x:c r="H2" s="10" t="str">
        <x:v>legacy_mrp_master_data.op_soya_chunks_10_receipt_preparation</x:v>
      </x:c>
      <x:c r="I2" s="11" t="b">
        <x:v>0</x:v>
      </x:c>
      <x:c r="J2" s="12" t="str">
        <x:v>Review Required</x:v>
      </x:c>
      <x:c r="K2" s="10" t="str">
        <x:v>Odoo_Manufacturing_Datasets_OPS010.xlsx</x:v>
      </x:c>
      <x:c r="L2" s="10" t="str">
        <x:v>07 BOM Components</x:v>
      </x:c>
      <x:c r="M2" s="10"/>
      <x:c r="N2" s="10" t="str">
        <x:v>Not import-ready: source quantity is blank</x:v>
      </x:c>
    </x:row>
  </x:sheetData>
  <x:pageMargins left="0.7" right="0.7" top="0.75" bottom="0.75" header="0.3" footer="0.3"/>
  <x:tableParts count="1">
    <x:tablePart xmlns:r="http://schemas.openxmlformats.org/officeDocument/2006/relationships" r:id="Rb61ba1a2d4aa4d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44" hidden="0" customWidth="1"/>
    <x:col min="3" max="3" width="12" hidden="0" customWidth="1"/>
    <x:col min="4" max="4" width="34" hidden="0" customWidth="1"/>
    <x:col min="5" max="5" width="40" hidden="0" customWidth="1"/>
    <x:col min="6" max="6" width="34" hidden="0" customWidth="1"/>
    <x:col min="7" max="7" width="16" hidden="0" customWidth="1"/>
    <x:col min="8" max="8" width="16" hidden="0" customWidth="1"/>
    <x:col min="9" max="9" width="12" hidden="0" customWidth="1"/>
    <x:col min="10" max="10" width="20" hidden="0" customWidth="1"/>
    <x:col min="11" max="11" width="42" hidden="0" customWidth="1"/>
    <x:col min="12" max="12" width="24" hidden="0" customWidth="1"/>
    <x:col min="13" max="13" width="58" hidden="0" customWidth="1"/>
  </x:cols>
  <x:sheetData>
    <x:row r="1" ht="36" customHeight="1">
      <x:c r="A1" s="4" t="str">
        <x:v>External ID</x:v>
      </x:c>
      <x:c r="B1" s="4" t="str">
        <x:v>BOM/External ID</x:v>
      </x:c>
      <x:c r="C1" s="4" t="str">
        <x:v>Sequence</x:v>
      </x:c>
      <x:c r="D1" s="4" t="str">
        <x:v>Operation</x:v>
      </x:c>
      <x:c r="E1" s="4" t="str">
        <x:v>Work Centre/External ID</x:v>
      </x:c>
      <x:c r="F1" s="4" t="str">
        <x:v>Work Centre</x:v>
      </x:c>
      <x:c r="G1" s="4" t="str">
        <x:v>Setup Minutes</x:v>
      </x:c>
      <x:c r="H1" s="4" t="str">
        <x:v>Cycle Minutes</x:v>
      </x:c>
      <x:c r="I1" s="4" t="str">
        <x:v>Active</x:v>
      </x:c>
      <x:c r="J1" s="4" t="str">
        <x:v>Validation Status</x:v>
      </x:c>
      <x:c r="K1" s="4" t="str">
        <x:v>Source Workbook</x:v>
      </x:c>
      <x:c r="L1" s="4" t="str">
        <x:v>Source Worksheet</x:v>
      </x:c>
      <x:c r="M1" s="4" t="str">
        <x:v>Notes</x:v>
      </x:c>
    </x:row>
    <x:row r="2">
      <x:c r="A2" s="10" t="str">
        <x:v>legacy_mrp_master_data.op_soya_chunks_10_receipt_preparation</x:v>
      </x:c>
      <x:c r="B2" s="10" t="str">
        <x:v>legacy_mrp_master_data.bom_soya_chunks_single_process</x:v>
      </x:c>
      <x:c r="C2" s="10" t="n">
        <x:v>10</x:v>
      </x:c>
      <x:c r="D2" s="10" t="str">
        <x:v>Soya Bean Receipt / Preparation</x:v>
      </x:c>
      <x:c r="E2" s="10" t="str">
        <x:v>legacy_mrp_master_data.wc_tsp_01</x:v>
      </x:c>
      <x:c r="F2" s="10" t="str">
        <x:v>WC-TSP-01 TSP Production Line</x:v>
      </x:c>
      <x:c r="G2" s="10" t="n">
        <x:v>0</x:v>
      </x:c>
      <x:c r="H2" s="10" t="n">
        <x:v>0</x:v>
      </x:c>
      <x:c r="I2" s="11" t="b">
        <x:v>0</x:v>
      </x:c>
      <x:c r="J2" s="10" t="str">
        <x:v>Review Required</x:v>
      </x:c>
      <x:c r="K2" s="10" t="str">
        <x:v>Odoo_Manufacturing_Datasets_OPS010.xlsx</x:v>
      </x:c>
      <x:c r="L2" s="10" t="str">
        <x:v>08 BOM Operations</x:v>
      </x:c>
      <x:c r="M2" s="10" t="str">
        <x:v>Duration not approved</x:v>
      </x:c>
    </x:row>
    <x:row r="3">
      <x:c r="A3" s="10" t="str">
        <x:v>legacy_mrp_master_data.op_soya_chunks_20_cleaning</x:v>
      </x:c>
      <x:c r="B3" s="10" t="str">
        <x:v>legacy_mrp_master_data.bom_soya_chunks_single_process</x:v>
      </x:c>
      <x:c r="C3" s="10" t="n">
        <x:v>20</x:v>
      </x:c>
      <x:c r="D3" s="10" t="str">
        <x:v>Soya Bean Cleaning</x:v>
      </x:c>
      <x:c r="E3" s="10" t="str">
        <x:v>legacy_mrp_master_data.wc_tsp_01</x:v>
      </x:c>
      <x:c r="F3" s="10" t="str">
        <x:v>WC-TSP-01 TSP Production Line</x:v>
      </x:c>
      <x:c r="G3" s="10" t="n">
        <x:v>0</x:v>
      </x:c>
      <x:c r="H3" s="10" t="n">
        <x:v>0</x:v>
      </x:c>
      <x:c r="I3" s="11" t="b">
        <x:v>0</x:v>
      </x:c>
      <x:c r="J3" s="10" t="str">
        <x:v>Review Required</x:v>
      </x:c>
      <x:c r="K3" s="10" t="str">
        <x:v>Odoo_Manufacturing_Datasets_OPS010.xlsx</x:v>
      </x:c>
      <x:c r="L3" s="10" t="str">
        <x:v>08 BOM Operations</x:v>
      </x:c>
      <x:c r="M3" s="10" t="str">
        <x:v>Duration not approved</x:v>
      </x:c>
    </x:row>
    <x:row r="4">
      <x:c r="A4" s="10" t="str">
        <x:v>legacy_mrp_master_data.op_soya_chunks_30_milling</x:v>
      </x:c>
      <x:c r="B4" s="10" t="str">
        <x:v>legacy_mrp_master_data.bom_soya_chunks_single_process</x:v>
      </x:c>
      <x:c r="C4" s="10" t="n">
        <x:v>30</x:v>
      </x:c>
      <x:c r="D4" s="10" t="str">
        <x:v>Soya Bean Milling</x:v>
      </x:c>
      <x:c r="E4" s="10" t="str">
        <x:v>legacy_mrp_master_data.wc_tsp_01</x:v>
      </x:c>
      <x:c r="F4" s="10" t="str">
        <x:v>WC-TSP-01 TSP Production Line</x:v>
      </x:c>
      <x:c r="G4" s="10" t="n">
        <x:v>0</x:v>
      </x:c>
      <x:c r="H4" s="10" t="n">
        <x:v>0</x:v>
      </x:c>
      <x:c r="I4" s="11" t="b">
        <x:v>0</x:v>
      </x:c>
      <x:c r="J4" s="10" t="str">
        <x:v>Review Required</x:v>
      </x:c>
      <x:c r="K4" s="10" t="str">
        <x:v>Odoo_Manufacturing_Datasets_OPS010.xlsx</x:v>
      </x:c>
      <x:c r="L4" s="10" t="str">
        <x:v>08 BOM Operations</x:v>
      </x:c>
      <x:c r="M4" s="10" t="str">
        <x:v>Duration not approved</x:v>
      </x:c>
    </x:row>
    <x:row r="5">
      <x:c r="A5" s="10" t="str">
        <x:v>legacy_mrp_master_data.op_soya_chunks_40_first_extrusion</x:v>
      </x:c>
      <x:c r="B5" s="10" t="str">
        <x:v>legacy_mrp_master_data.bom_soya_chunks_single_process</x:v>
      </x:c>
      <x:c r="C5" s="10" t="n">
        <x:v>40</x:v>
      </x:c>
      <x:c r="D5" s="10" t="str">
        <x:v>First Extrusion</x:v>
      </x:c>
      <x:c r="E5" s="10" t="str">
        <x:v>legacy_mrp_master_data.wc_tsp_01</x:v>
      </x:c>
      <x:c r="F5" s="10" t="str">
        <x:v>WC-TSP-01 TSP Production Line</x:v>
      </x:c>
      <x:c r="G5" s="10" t="n">
        <x:v>0</x:v>
      </x:c>
      <x:c r="H5" s="10" t="n">
        <x:v>0</x:v>
      </x:c>
      <x:c r="I5" s="11" t="b">
        <x:v>0</x:v>
      </x:c>
      <x:c r="J5" s="10" t="str">
        <x:v>Review Required</x:v>
      </x:c>
      <x:c r="K5" s="10" t="str">
        <x:v>Odoo_Manufacturing_Datasets_OPS010.xlsx</x:v>
      </x:c>
      <x:c r="L5" s="10" t="str">
        <x:v>08 BOM Operations</x:v>
      </x:c>
      <x:c r="M5" s="10" t="str">
        <x:v>Candidate 110–160°C; duration not approved</x:v>
      </x:c>
    </x:row>
    <x:row r="6">
      <x:c r="A6" s="10" t="str">
        <x:v>legacy_mrp_master_data.op_soya_chunks_50_oil_extraction</x:v>
      </x:c>
      <x:c r="B6" s="10" t="str">
        <x:v>legacy_mrp_master_data.bom_soya_chunks_single_process</x:v>
      </x:c>
      <x:c r="C6" s="10" t="n">
        <x:v>50</x:v>
      </x:c>
      <x:c r="D6" s="10" t="str">
        <x:v>Oil Extraction</x:v>
      </x:c>
      <x:c r="E6" s="10" t="str">
        <x:v>legacy_mrp_master_data.wc_tsp_01</x:v>
      </x:c>
      <x:c r="F6" s="10" t="str">
        <x:v>WC-TSP-01 TSP Production Line</x:v>
      </x:c>
      <x:c r="G6" s="10" t="n">
        <x:v>0</x:v>
      </x:c>
      <x:c r="H6" s="10" t="n">
        <x:v>0</x:v>
      </x:c>
      <x:c r="I6" s="11" t="b">
        <x:v>0</x:v>
      </x:c>
      <x:c r="J6" s="10" t="str">
        <x:v>Review Required</x:v>
      </x:c>
      <x:c r="K6" s="10" t="str">
        <x:v>Odoo_Manufacturing_Datasets_OPS010.xlsx</x:v>
      </x:c>
      <x:c r="L6" s="10" t="str">
        <x:v>08 BOM Operations</x:v>
      </x:c>
      <x:c r="M6" s="10" t="str">
        <x:v>Candidate cake thickness 3–6 mm; duration not approved</x:v>
      </x:c>
    </x:row>
    <x:row r="7">
      <x:c r="A7" s="10" t="str">
        <x:v>legacy_mrp_master_data.op_soya_chunks_60_low_fat_cake_milling</x:v>
      </x:c>
      <x:c r="B7" s="10" t="str">
        <x:v>legacy_mrp_master_data.bom_soya_chunks_single_process</x:v>
      </x:c>
      <x:c r="C7" s="10" t="n">
        <x:v>60</x:v>
      </x:c>
      <x:c r="D7" s="10" t="str">
        <x:v>Low-Fat Cake Milling</x:v>
      </x:c>
      <x:c r="E7" s="10" t="str">
        <x:v>legacy_mrp_master_data.wc_tsp_01</x:v>
      </x:c>
      <x:c r="F7" s="10" t="str">
        <x:v>WC-TSP-01 TSP Production Line</x:v>
      </x:c>
      <x:c r="G7" s="10" t="n">
        <x:v>0</x:v>
      </x:c>
      <x:c r="H7" s="10" t="n">
        <x:v>0</x:v>
      </x:c>
      <x:c r="I7" s="11" t="b">
        <x:v>0</x:v>
      </x:c>
      <x:c r="J7" s="10" t="str">
        <x:v>Review Required</x:v>
      </x:c>
      <x:c r="K7" s="10" t="str">
        <x:v>Odoo_Manufacturing_Datasets_OPS010.xlsx</x:v>
      </x:c>
      <x:c r="L7" s="10" t="str">
        <x:v>08 BOM Operations</x:v>
      </x:c>
      <x:c r="M7" s="10" t="str">
        <x:v>Duration not approved</x:v>
      </x:c>
    </x:row>
    <x:row r="8">
      <x:c r="A8" s="10" t="str">
        <x:v>legacy_mrp_master_data.op_soya_chunks_70_second_extrusion</x:v>
      </x:c>
      <x:c r="B8" s="10" t="str">
        <x:v>legacy_mrp_master_data.bom_soya_chunks_single_process</x:v>
      </x:c>
      <x:c r="C8" s="10" t="n">
        <x:v>70</x:v>
      </x:c>
      <x:c r="D8" s="10" t="str">
        <x:v>Second Extrusion</x:v>
      </x:c>
      <x:c r="E8" s="10" t="str">
        <x:v>legacy_mrp_master_data.wc_tsp_01</x:v>
      </x:c>
      <x:c r="F8" s="10" t="str">
        <x:v>WC-TSP-01 TSP Production Line</x:v>
      </x:c>
      <x:c r="G8" s="10" t="n">
        <x:v>0</x:v>
      </x:c>
      <x:c r="H8" s="10" t="n">
        <x:v>0</x:v>
      </x:c>
      <x:c r="I8" s="11" t="b">
        <x:v>0</x:v>
      </x:c>
      <x:c r="J8" s="10" t="str">
        <x:v>Review Required</x:v>
      </x:c>
      <x:c r="K8" s="10" t="str">
        <x:v>Odoo_Manufacturing_Datasets_OPS010.xlsx</x:v>
      </x:c>
      <x:c r="L8" s="10" t="str">
        <x:v>08 BOM Operations</x:v>
      </x:c>
      <x:c r="M8" s="10" t="str">
        <x:v>Candidate 140–160°C and moisture &lt;10%; duration not approved</x:v>
      </x:c>
    </x:row>
    <x:row r="9">
      <x:c r="A9" s="10" t="str">
        <x:v>legacy_mrp_master_data.op_soya_chunks_80_grading</x:v>
      </x:c>
      <x:c r="B9" s="10" t="str">
        <x:v>legacy_mrp_master_data.bom_soya_chunks_single_process</x:v>
      </x:c>
      <x:c r="C9" s="10" t="n">
        <x:v>80</x:v>
      </x:c>
      <x:c r="D9" s="10" t="str">
        <x:v>Grading</x:v>
      </x:c>
      <x:c r="E9" s="10" t="str">
        <x:v>legacy_mrp_master_data.wc_tsp_01</x:v>
      </x:c>
      <x:c r="F9" s="10" t="str">
        <x:v>WC-TSP-01 TSP Production Line</x:v>
      </x:c>
      <x:c r="G9" s="10" t="n">
        <x:v>0</x:v>
      </x:c>
      <x:c r="H9" s="10" t="n">
        <x:v>0</x:v>
      </x:c>
      <x:c r="I9" s="11" t="b">
        <x:v>0</x:v>
      </x:c>
      <x:c r="J9" s="10" t="str">
        <x:v>Review Required</x:v>
      </x:c>
      <x:c r="K9" s="10" t="str">
        <x:v>Odoo_Manufacturing_Datasets_OPS010.xlsx</x:v>
      </x:c>
      <x:c r="L9" s="10" t="str">
        <x:v>08 BOM Operations</x:v>
      </x:c>
      <x:c r="M9" s="10" t="str">
        <x:v>Duration not approved</x:v>
      </x:c>
    </x:row>
    <x:row r="10">
      <x:c r="A10" s="10" t="str">
        <x:v>legacy_mrp_master_data.op_soya_chunks_90_final_quality_release</x:v>
      </x:c>
      <x:c r="B10" s="10" t="str">
        <x:v>legacy_mrp_master_data.bom_soya_chunks_single_process</x:v>
      </x:c>
      <x:c r="C10" s="10" t="n">
        <x:v>90</x:v>
      </x:c>
      <x:c r="D10" s="10" t="str">
        <x:v>Final Quality Release</x:v>
      </x:c>
      <x:c r="E10" s="10" t="str">
        <x:v>legacy_mrp_master_data.wc_tsp_01</x:v>
      </x:c>
      <x:c r="F10" s="10" t="str">
        <x:v>WC-TSP-01 TSP Production Line</x:v>
      </x:c>
      <x:c r="G10" s="10" t="n">
        <x:v>0</x:v>
      </x:c>
      <x:c r="H10" s="10" t="n">
        <x:v>0</x:v>
      </x:c>
      <x:c r="I10" s="11" t="b">
        <x:v>0</x:v>
      </x:c>
      <x:c r="J10" s="10" t="str">
        <x:v>Review Required</x:v>
      </x:c>
      <x:c r="K10" s="10" t="str">
        <x:v>Odoo_Manufacturing_Datasets_OPS010.xlsx</x:v>
      </x:c>
      <x:c r="L10" s="10" t="str">
        <x:v>08 BOM Operations</x:v>
      </x:c>
      <x:c r="M10" s="10" t="str">
        <x:v>Release criteria and blocking behavior not 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e369ab784e4344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24" hidden="0" customWidth="1"/>
    <x:col min="5" max="5" width="24" hidden="0" customWidth="1"/>
    <x:col min="6" max="6" width="16" hidden="0" customWidth="1"/>
    <x:col min="7" max="7" width="10" hidden="0" customWidth="1"/>
    <x:col min="8" max="8" width="52" hidden="0" customWidth="1"/>
    <x:col min="9" max="9" width="16" hidden="0" customWidth="1"/>
    <x:col min="10" max="10" width="12" hidden="0" customWidth="1"/>
    <x:col min="11" max="11" width="20" hidden="0" customWidth="1"/>
    <x:col min="12" max="12" width="42" hidden="0" customWidth="1"/>
    <x:col min="13" max="13" width="24" hidden="0" customWidth="1"/>
    <x:col min="14" max="14" width="14" hidden="0" customWidth="1"/>
    <x:col min="15" max="15" width="66" hidden="0" customWidth="1"/>
  </x:cols>
  <x:sheetData>
    <x:row r="1" ht="36" customHeight="1">
      <x:c r="A1" s="4" t="str">
        <x:v>External ID</x:v>
      </x:c>
      <x:c r="B1" s="4" t="str">
        <x:v>BOM/External ID</x:v>
      </x:c>
      <x:c r="C1" s="4" t="str">
        <x:v>Product/External ID</x:v>
      </x:c>
      <x:c r="D1" s="4" t="str">
        <x:v>Product/Internal Reference</x:v>
      </x:c>
      <x:c r="E1" s="4" t="str">
        <x:v>Product Name</x:v>
      </x:c>
      <x:c r="F1" s="4" t="str">
        <x:v>Quantity</x:v>
      </x:c>
      <x:c r="G1" s="4" t="str">
        <x:v>UoM</x:v>
      </x:c>
      <x:c r="H1" s="4" t="str">
        <x:v>Produced in Operation/External ID</x:v>
      </x:c>
      <x:c r="I1" s="4" t="str">
        <x:v>Cost Share</x:v>
      </x:c>
      <x:c r="J1" s="4" t="str">
        <x:v>Active</x:v>
      </x:c>
      <x:c r="K1" s="4" t="str">
        <x:v>Validation Status</x:v>
      </x:c>
      <x:c r="L1" s="4" t="str">
        <x:v>Source Workbook</x:v>
      </x:c>
      <x:c r="M1" s="4" t="str">
        <x:v>Source Worksheet</x:v>
      </x:c>
      <x:c r="N1" s="4" t="str">
        <x:v>Source Row</x:v>
      </x:c>
      <x:c r="O1" s="4" t="str">
        <x:v>Notes</x:v>
      </x:c>
    </x:row>
    <x:row r="2">
      <x:c r="A2" s="10"/>
      <x:c r="B2" s="10" t="str">
        <x:v>legacy_mrp_master_data.bom_soya_chunks_single_process</x:v>
      </x:c>
      <x:c r="C2" s="10" t="str">
        <x:v>legacy_mrp_master_data.prod_crude_oil</x:v>
      </x:c>
      <x:c r="D2" s="10" t="str">
        <x:v>BYP-CRUDE-OIL</x:v>
      </x:c>
      <x:c r="E2" s="10" t="str">
        <x:v>Soya Oil (Crude)</x:v>
      </x:c>
      <x:c r="F2" s="13"/>
      <x:c r="G2" s="10" t="str">
        <x:v>kg</x:v>
      </x:c>
      <x:c r="H2" s="10" t="str">
        <x:v>legacy_mrp_master_data.op_soya_chunks_50_oil_extraction</x:v>
      </x:c>
      <x:c r="I2" s="13"/>
      <x:c r="J2" s="11" t="b">
        <x:v>0</x:v>
      </x:c>
      <x:c r="K2" s="12" t="str">
        <x:v>Review Required</x:v>
      </x:c>
      <x:c r="L2" s="10" t="str">
        <x:v>Odoo_Manufacturing_Datasets_OPS010.xlsx</x:v>
      </x:c>
      <x:c r="M2" s="10" t="str">
        <x:v>07 BOM Components</x:v>
      </x:c>
      <x:c r="N2" s="10"/>
      <x:c r="O2" s="10" t="str">
        <x:v>Not import-ready: yield, UoM/density policy and Finance cost share are unresolved</x:v>
      </x:c>
    </x:row>
  </x:sheetData>
  <x:pageMargins left="0.7" right="0.7" top="0.75" bottom="0.75" header="0.3" footer="0.3"/>
  <x:tableParts count="1">
    <x:tablePart xmlns:r="http://schemas.openxmlformats.org/officeDocument/2006/relationships" r:id="Re5791980787a43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34" hidden="0" customWidth="1"/>
    <x:col min="4" max="4" width="20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12" hidden="0" customWidth="1"/>
    <x:col min="10" max="10" width="20" hidden="0" customWidth="1"/>
    <x:col min="11" max="11" width="42" hidden="0" customWidth="1"/>
    <x:col min="12" max="12" width="24" hidden="0" customWidth="1"/>
    <x:col min="13" max="13" width="62" hidden="0" customWidth="1"/>
  </x:cols>
  <x:sheetData>
    <x:row r="1" ht="36" customHeight="1">
      <x:c r="A1" s="4" t="str">
        <x:v>External ID</x:v>
      </x:c>
      <x:c r="B1" s="4" t="str">
        <x:v>Operation/External ID</x:v>
      </x:c>
      <x:c r="C1" s="4" t="str">
        <x:v>Control</x:v>
      </x:c>
      <x:c r="D1" s="4" t="str">
        <x:v>Specification</x:v>
      </x:c>
      <x:c r="E1" s="4" t="str">
        <x:v>Test Type</x:v>
      </x:c>
      <x:c r="F1" s="4" t="str">
        <x:v>Frequency</x:v>
      </x:c>
      <x:c r="G1" s="4" t="str">
        <x:v>Responsible Team</x:v>
      </x:c>
      <x:c r="H1" s="4" t="str">
        <x:v>Blocking</x:v>
      </x:c>
      <x:c r="I1" s="4" t="str">
        <x:v>Active</x:v>
      </x:c>
      <x:c r="J1" s="4" t="str">
        <x:v>Validation Status</x:v>
      </x:c>
      <x:c r="K1" s="4" t="str">
        <x:v>Source Workbook</x:v>
      </x:c>
      <x:c r="L1" s="4" t="str">
        <x:v>Source Worksheet</x:v>
      </x:c>
      <x:c r="M1" s="4" t="str">
        <x:v>Notes</x:v>
      </x:c>
    </x:row>
    <x:row r="2">
      <x:c r="A2" s="10"/>
      <x:c r="B2" s="10" t="str">
        <x:v>legacy_mrp_master_data.op_soya_chunks_10_receipt_preparation</x:v>
      </x:c>
      <x:c r="C2" s="10" t="str">
        <x:v>Soya bean acceptance inspection</x:v>
      </x:c>
      <x:c r="D2" s="10"/>
      <x:c r="E2" s="10"/>
      <x:c r="F2" s="10"/>
      <x:c r="G2" s="10"/>
      <x:c r="H2" s="10"/>
      <x:c r="I2" s="11" t="b">
        <x:v>0</x:v>
      </x:c>
      <x:c r="J2" s="10" t="str">
        <x:v>Review Required</x:v>
      </x:c>
      <x:c r="K2" s="10" t="str">
        <x:v>Odoo_Manufacturing_Datasets_OPS010.xlsx</x:v>
      </x:c>
      <x:c r="L2" s="10" t="str">
        <x:v>09 Quality Points</x:v>
      </x:c>
      <x:c r="M2" s="10" t="str">
        <x:v>Incomplete quality plan</x:v>
      </x:c>
    </x:row>
    <x:row r="3">
      <x:c r="A3" s="10"/>
      <x:c r="B3" s="10" t="str">
        <x:v>legacy_mrp_master_data.op_soya_chunks_40_first_extrusion</x:v>
      </x:c>
      <x:c r="C3" s="10" t="str">
        <x:v>First-extrusion temperature</x:v>
      </x:c>
      <x:c r="D3" s="10" t="str">
        <x:v>110–160°C</x:v>
      </x:c>
      <x:c r="E3" s="10"/>
      <x:c r="F3" s="10"/>
      <x:c r="G3" s="10"/>
      <x:c r="H3" s="10"/>
      <x:c r="I3" s="11" t="b">
        <x:v>0</x:v>
      </x:c>
      <x:c r="J3" s="10" t="str">
        <x:v>Review Required</x:v>
      </x:c>
      <x:c r="K3" s="10" t="str">
        <x:v>Odoo_Manufacturing_Datasets_OPS010.xlsx</x:v>
      </x:c>
      <x:c r="L3" s="10" t="str">
        <x:v>09 Quality Points</x:v>
      </x:c>
      <x:c r="M3" s="10" t="str">
        <x:v>Candidate specification; test method and frequency missing</x:v>
      </x:c>
    </x:row>
    <x:row r="4">
      <x:c r="A4" s="10"/>
      <x:c r="B4" s="10" t="str">
        <x:v>legacy_mrp_master_data.op_soya_chunks_50_oil_extraction</x:v>
      </x:c>
      <x:c r="C4" s="10" t="str">
        <x:v>Low-fat cake thickness</x:v>
      </x:c>
      <x:c r="D4" s="10" t="str">
        <x:v>3–6 mm</x:v>
      </x:c>
      <x:c r="E4" s="10"/>
      <x:c r="F4" s="10"/>
      <x:c r="G4" s="10"/>
      <x:c r="H4" s="10"/>
      <x:c r="I4" s="11" t="b">
        <x:v>0</x:v>
      </x:c>
      <x:c r="J4" s="10" t="str">
        <x:v>Review Required</x:v>
      </x:c>
      <x:c r="K4" s="10" t="str">
        <x:v>Odoo_Manufacturing_Datasets_OPS010.xlsx</x:v>
      </x:c>
      <x:c r="L4" s="10" t="str">
        <x:v>09 Quality Points</x:v>
      </x:c>
      <x:c r="M4" s="10" t="str">
        <x:v>Candidate specification; test method and frequency missing</x:v>
      </x:c>
    </x:row>
    <x:row r="5">
      <x:c r="A5" s="10"/>
      <x:c r="B5" s="10" t="str">
        <x:v>legacy_mrp_master_data.op_soya_chunks_70_second_extrusion</x:v>
      </x:c>
      <x:c r="C5" s="10" t="str">
        <x:v>Second-extrusion temperature</x:v>
      </x:c>
      <x:c r="D5" s="10" t="str">
        <x:v>140–160°C</x:v>
      </x:c>
      <x:c r="E5" s="10"/>
      <x:c r="F5" s="10"/>
      <x:c r="G5" s="10"/>
      <x:c r="H5" s="10"/>
      <x:c r="I5" s="11" t="b">
        <x:v>0</x:v>
      </x:c>
      <x:c r="J5" s="10" t="str">
        <x:v>Review Required</x:v>
      </x:c>
      <x:c r="K5" s="10" t="str">
        <x:v>Odoo_Manufacturing_Datasets_OPS010.xlsx</x:v>
      </x:c>
      <x:c r="L5" s="10" t="str">
        <x:v>09 Quality Points</x:v>
      </x:c>
      <x:c r="M5" s="10" t="str">
        <x:v>Candidate specification; test method and frequency missing</x:v>
      </x:c>
    </x:row>
    <x:row r="6">
      <x:c r="A6" s="10"/>
      <x:c r="B6" s="10" t="str">
        <x:v>legacy_mrp_master_data.op_soya_chunks_70_second_extrusion</x:v>
      </x:c>
      <x:c r="C6" s="10" t="str">
        <x:v>Moisture</x:v>
      </x:c>
      <x:c r="D6" s="10" t="str">
        <x:v>&lt;10%</x:v>
      </x:c>
      <x:c r="E6" s="10"/>
      <x:c r="F6" s="10"/>
      <x:c r="G6" s="10"/>
      <x:c r="H6" s="10"/>
      <x:c r="I6" s="11" t="b">
        <x:v>0</x:v>
      </x:c>
      <x:c r="J6" s="10" t="str">
        <x:v>Review Required</x:v>
      </x:c>
      <x:c r="K6" s="10" t="str">
        <x:v>Odoo_Manufacturing_Datasets_OPS010.xlsx</x:v>
      </x:c>
      <x:c r="L6" s="10" t="str">
        <x:v>09 Quality Points</x:v>
      </x:c>
      <x:c r="M6" s="10" t="str">
        <x:v>Candidate specification; test method and frequency missing</x:v>
      </x:c>
    </x:row>
    <x:row r="7">
      <x:c r="A7" s="10"/>
      <x:c r="B7" s="10" t="str">
        <x:v>legacy_mrp_master_data.op_soya_chunks_90_final_quality_release</x:v>
      </x:c>
      <x:c r="C7" s="10" t="str">
        <x:v>Final quality release</x:v>
      </x:c>
      <x:c r="D7" s="10"/>
      <x:c r="E7" s="10"/>
      <x:c r="F7" s="10"/>
      <x:c r="G7" s="10"/>
      <x:c r="H7" s="10"/>
      <x:c r="I7" s="11" t="b">
        <x:v>0</x:v>
      </x:c>
      <x:c r="J7" s="10" t="str">
        <x:v>Review Required</x:v>
      </x:c>
      <x:c r="K7" s="10" t="str">
        <x:v>Odoo_Manufacturing_Datasets_OPS010.xlsx</x:v>
      </x:c>
      <x:c r="L7" s="10" t="str">
        <x:v>09 Quality Points</x:v>
      </x:c>
      <x:c r="M7" s="10" t="str">
        <x:v>Release criteria and blocking rule missing</x:v>
      </x:c>
    </x:row>
  </x:sheetData>
  <x:pageMargins left="0.7" right="0.7" top="0.75" bottom="0.75" header="0.3" footer="0.3"/>
  <x:tableParts count="1">
    <x:tablePart xmlns:r="http://schemas.openxmlformats.org/officeDocument/2006/relationships" r:id="Re5bae94ba41047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70" hidden="0" customWidth="1"/>
  </x:cols>
  <x:sheetData>
    <x:row r="1" ht="36" customHeight="1">
      <x:c r="A1" s="4" t="str">
        <x:v>Validation Control</x:v>
      </x:c>
      <x:c r="B1" s="4" t="str">
        <x:v>Formula Result</x:v>
      </x:c>
      <x:c r="C1" s="4" t="str">
        <x:v>Required Resolution</x:v>
      </x:c>
    </x:row>
    <x:row r="2">
      <x:c r="A2" s="10" t="str">
        <x:v>Approved Soya Beans input quantity</x:v>
      </x:c>
      <x:c r="B2" s="10" t="str">
        <x:f>IF('BOM Components'!F2&gt;0,"PASS","MISSING")</x:f>
        <x:v>MISSING</x:v>
      </x:c>
      <x:c r="C2" s="10" t="str">
        <x:v>Enter a positive customer-approved quantity in BOM Components</x:v>
      </x:c>
    </x:row>
    <x:row r="3">
      <x:c r="A3" s="10" t="str">
        <x:v>Approved Soya Oil output quantity</x:v>
      </x:c>
      <x:c r="B3" s="10" t="str">
        <x:f>IF('BOM Byproducts'!F2&gt;0,"PASS","MISSING")</x:f>
        <x:v>MISSING</x:v>
      </x:c>
      <x:c r="C3" s="10" t="str">
        <x:v>Enter a positive customer-approved quantity in BOM Byproducts</x:v>
      </x:c>
    </x:row>
    <x:row r="4">
      <x:c r="A4" s="10" t="str">
        <x:v>Approved Soya Oil cost share</x:v>
      </x:c>
      <x:c r="B4" s="10" t="str">
        <x:f>IF(AND('BOM Byproducts'!I2&gt;=0,'BOM Byproducts'!I2&lt;=100,'BOM Byproducts'!I2&lt;&gt;""),"PASS","MISSING")</x:f>
        <x:v>MISSING</x:v>
      </x:c>
      <x:c r="C4" s="10" t="str">
        <x:v>Enter Finance-approved percentage from 0 to 100</x:v>
      </x:c>
    </x:row>
    <x:row r="5">
      <x:c r="A5" s="10" t="str">
        <x:v>Packaging operation count</x:v>
      </x:c>
      <x:c r="B5" s="10" t="n">
        <x:f>COUNTIF('BOM Operations'!D2:D10,"*Pack*")</x:f>
        <x:v>0</x:v>
      </x:c>
      <x:c r="C5" s="10" t="str">
        <x:v>Must remain zero</x:v>
      </x:c>
    </x:row>
    <x:row r="6">
      <x:c r="A6" s="10" t="str">
        <x:v>Unresolved decision count</x:v>
      </x:c>
      <x:c r="B6" s="10" t="n">
        <x:f>COUNTA('Unresolved Records'!A2:A10)</x:f>
        <x:v>9</x:v>
      </x:c>
      <x:c r="C6" s="10" t="str">
        <x:v>Resolve all nine items</x:v>
      </x:c>
    </x:row>
    <x:row r="7">
      <x:c r="A7" s="10" t="str">
        <x:v>Activation decision</x:v>
      </x:c>
      <x:c r="B7" s="12" t="str">
        <x:f>IF(AND(B2="PASS",B3="PASS",B4="PASS",B5=0,B6=0),"READY","BLOCKED")</x:f>
        <x:v>BLOCKED</x:v>
      </x:c>
      <x:c r="C7" s="10" t="str">
        <x:v>Activate only when every control passes</x:v>
      </x:c>
    </x:row>
  </x:sheetData>
  <x:pageMargins left="0.7" right="0.7" top="0.75" bottom="0.75" header="0.3" footer="0.3"/>
  <x:tableParts count="1">
    <x:tablePart xmlns:r="http://schemas.openxmlformats.org/officeDocument/2006/relationships" r:id="Rf58318a7466f48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36" hidden="0" customWidth="1"/>
    <x:col min="4" max="4" width="14" hidden="0" customWidth="1"/>
    <x:col min="5" max="5" width="28" hidden="0" customWidth="1"/>
    <x:col min="6" max="6" width="58" hidden="0" customWidth="1"/>
    <x:col min="7" max="7" width="70" hidden="0" customWidth="1"/>
    <x:col min="8" max="8" width="14" hidden="0" customWidth="1"/>
  </x:cols>
  <x:sheetData>
    <x:row r="1" ht="36" customHeight="1">
      <x:c r="A1" s="4" t="str">
        <x:v>Record Type</x:v>
      </x:c>
      <x:c r="B1" s="4" t="str">
        <x:v>Source File</x:v>
      </x:c>
      <x:c r="C1" s="4" t="str">
        <x:v>Source Sheet</x:v>
      </x:c>
      <x:c r="D1" s="4" t="str">
        <x:v>Source Row</x:v>
      </x:c>
      <x:c r="E1" s="4" t="str">
        <x:v>Source Value</x:v>
      </x:c>
      <x:c r="F1" s="4" t="str">
        <x:v>Problem</x:v>
      </x:c>
      <x:c r="G1" s="4" t="str">
        <x:v>Suggested Resolution</x:v>
      </x:c>
      <x:c r="H1" s="4" t="str">
        <x:v>Status</x:v>
      </x:c>
    </x:row>
    <x:row r="2">
      <x:c r="A2" s="10" t="str">
        <x:v>BOM Input</x:v>
      </x:c>
      <x:c r="B2" s="10" t="str">
        <x:v>Odoo_Manufacturing_Datasets_OPS010.xlsx</x:v>
      </x:c>
      <x:c r="C2" s="10" t="str">
        <x:v>07 BOM Components</x:v>
      </x:c>
      <x:c r="D2" s="10"/>
      <x:c r="E2" s="10" t="str">
        <x:v>Soya Beans</x:v>
      </x:c>
      <x:c r="F2" s="10" t="str">
        <x:v>Approved batch input quantity missing</x:v>
      </x:c>
      <x:c r="G2" s="10" t="str">
        <x:v>Approve Soya Beans input in kg</x:v>
      </x:c>
      <x:c r="H2" s="10" t="str">
        <x:v>Open</x:v>
      </x:c>
    </x:row>
    <x:row r="3">
      <x:c r="A3" s="10" t="str">
        <x:v>Main Output</x:v>
      </x:c>
      <x:c r="B3" s="10" t="str">
        <x:v>Odoo_Manufacturing_Datasets_OPS010.xlsx</x:v>
      </x:c>
      <x:c r="C3" s="10" t="str">
        <x:v>06 BOM Headers</x:v>
      </x:c>
      <x:c r="D3" s="10"/>
      <x:c r="E3" s="10" t="str">
        <x:v>Bulk Soya Chunks</x:v>
      </x:c>
      <x:c r="F3" s="10" t="str">
        <x:v>Expected output missing</x:v>
      </x:c>
      <x:c r="G3" s="10" t="str">
        <x:v>Approve main output in kg</x:v>
      </x:c>
      <x:c r="H3" s="10" t="str">
        <x:v>Open</x:v>
      </x:c>
    </x:row>
    <x:row r="4">
      <x:c r="A4" s="10" t="str">
        <x:v>By-product Output</x:v>
      </x:c>
      <x:c r="B4" s="10" t="str">
        <x:v>Odoo_Manufacturing_Datasets_OPS010.xlsx</x:v>
      </x:c>
      <x:c r="C4" s="10" t="str">
        <x:v>07 BOM Components</x:v>
      </x:c>
      <x:c r="D4" s="10"/>
      <x:c r="E4" s="10" t="str">
        <x:v>Extracted Soya Oil</x:v>
      </x:c>
      <x:c r="F4" s="10" t="str">
        <x:v>Expected Soya Oil output/yield missing</x:v>
      </x:c>
      <x:c r="G4" s="10" t="str">
        <x:v>Approve oil quantity or yield</x:v>
      </x:c>
      <x:c r="H4" s="10" t="str">
        <x:v>Open</x:v>
      </x:c>
    </x:row>
    <x:row r="5">
      <x:c r="A5" s="10" t="str">
        <x:v>Process Loss</x:v>
      </x:c>
      <x:c r="B5" s="10" t="str">
        <x:v>Odoo_Manufacturing_Datasets_OPS010.xlsx</x:v>
      </x:c>
      <x:c r="C5" s="10" t="str">
        <x:v>10 Data Gaps</x:v>
      </x:c>
      <x:c r="D5" s="10"/>
      <x:c r="E5" s="10" t="str">
        <x:v>Yield and loss</x:v>
      </x:c>
      <x:c r="F5" s="10" t="str">
        <x:v>Process-loss percentage missing</x:v>
      </x:c>
      <x:c r="G5" s="10" t="str">
        <x:v>Approve expected loss and tolerance</x:v>
      </x:c>
      <x:c r="H5" s="10" t="str">
        <x:v>Open</x:v>
      </x:c>
    </x:row>
    <x:row r="6">
      <x:c r="A6" s="10" t="str">
        <x:v>Cost Share</x:v>
      </x:c>
      <x:c r="B6" s="10" t="str">
        <x:v>Odoo_Manufacturing_Datasets_OPS010.xlsx</x:v>
      </x:c>
      <x:c r="C6" s="10" t="str">
        <x:v>10 Data Gaps</x:v>
      </x:c>
      <x:c r="D6" s="10"/>
      <x:c r="E6" s="10" t="str">
        <x:v>Soya Oil</x:v>
      </x:c>
      <x:c r="F6" s="10" t="str">
        <x:v>Finance cost share missing</x:v>
      </x:c>
      <x:c r="G6" s="10" t="str">
        <x:v>Legacy Finance must confirm the shared manufacturing cost percentage allocated to Soya Oil</x:v>
      </x:c>
      <x:c r="H6" s="10" t="str">
        <x:v>Open</x:v>
      </x:c>
    </x:row>
    <x:row r="7">
      <x:c r="A7" s="10" t="str">
        <x:v>Oil UoM</x:v>
      </x:c>
      <x:c r="B7" s="10" t="str">
        <x:v>Odoo_Manufacturing_Datasets_OPS010.xlsx</x:v>
      </x:c>
      <x:c r="C7" s="10" t="str">
        <x:v>03 Products</x:v>
      </x:c>
      <x:c r="D7" s="10"/>
      <x:c r="E7" s="10" t="str">
        <x:v>L versus kg</x:v>
      </x:c>
      <x:c r="F7" s="10" t="str">
        <x:v>OPS010 proposes litres but existing Odoo master uses kg</x:v>
      </x:c>
      <x:c r="G7" s="10" t="str">
        <x:v>Approve kg or litre inventory policy</x:v>
      </x:c>
      <x:c r="H7" s="10" t="str">
        <x:v>Open</x:v>
      </x:c>
    </x:row>
    <x:row r="8">
      <x:c r="A8" s="10" t="str">
        <x:v>Oil Density</x:v>
      </x:c>
      <x:c r="B8" s="10" t="str">
        <x:v>Odoo_Manufacturing_Datasets_OPS010.xlsx</x:v>
      </x:c>
      <x:c r="C8" s="10" t="str">
        <x:v>10 Data Gaps</x:v>
      </x:c>
      <x:c r="D8" s="10"/>
      <x:c r="E8" s="10" t="str">
        <x:v>Density</x:v>
      </x:c>
      <x:c r="F8" s="10" t="str">
        <x:v>No validated kg/litre conversion</x:v>
      </x:c>
      <x:c r="G8" s="10" t="str">
        <x:v>Provide approved density only if litres are required</x:v>
      </x:c>
      <x:c r="H8" s="10" t="str">
        <x:v>Open</x:v>
      </x:c>
    </x:row>
    <x:row r="9">
      <x:c r="A9" s="10" t="str">
        <x:v>Low-Fat Cake</x:v>
      </x:c>
      <x:c r="B9" s="10" t="str">
        <x:v>Odoo_Manufacturing_Datasets_OPS010.xlsx</x:v>
      </x:c>
      <x:c r="C9" s="10" t="str">
        <x:v>03 Products</x:v>
      </x:c>
      <x:c r="D9" s="10"/>
      <x:c r="E9" s="10" t="str">
        <x:v>Low Fat Soya Cake</x:v>
      </x:c>
      <x:c r="F9" s="10" t="str">
        <x:v>Stocked master exists but independent output quantity/classification is missing</x:v>
      </x:c>
      <x:c r="G9" s="10" t="str">
        <x:v>Confirm internal intermediate versus separate stock output</x:v>
      </x:c>
      <x:c r="H9" s="10" t="str">
        <x:v>Open</x:v>
      </x:c>
    </x:row>
    <x:row r="10">
      <x:c r="A10" s="10" t="str">
        <x:v>Operation and Quality</x:v>
      </x:c>
      <x:c r="B10" s="10" t="str">
        <x:v>Odoo_Manufacturing_Datasets_OPS010.xlsx</x:v>
      </x:c>
      <x:c r="C10" s="10" t="str">
        <x:v>08 BOM Operations / 09 Quality Points</x:v>
      </x:c>
      <x:c r="D10" s="10"/>
      <x:c r="E10" s="10" t="str">
        <x:v>Durations and specifications</x:v>
      </x:c>
      <x:c r="F10" s="10" t="str">
        <x:v>Durations and full quality plan are incomplete</x:v>
      </x:c>
      <x:c r="G10" s="10" t="str">
        <x:v>Approve operation times and complete quality specifications</x:v>
      </x:c>
      <x:c r="H10" s="10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d3f75bb1fb994cbe"/>
  </x:tableParts>
</x:worksheet>
</file>